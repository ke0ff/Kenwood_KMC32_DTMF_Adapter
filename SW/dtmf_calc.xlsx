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<sst xmlns="http://schemas.openxmlformats.org/spreadsheetml/2006/main" count="42" uniqueCount="34">
  <si>
    <t xml:space="preserve">edgey</t>
  </si>
  <si>
    <t xml:space="preserve">edgex</t>
  </si>
  <si>
    <t xml:space="preserve">X-ord</t>
  </si>
  <si>
    <t xml:space="preserve">Y-ord</t>
  </si>
  <si>
    <t xml:space="preserve">PCBx</t>
  </si>
  <si>
    <t xml:space="preserve">PCBy</t>
  </si>
  <si>
    <t xml:space="preserve">CL</t>
  </si>
  <si>
    <t xml:space="preserve">C0</t>
  </si>
  <si>
    <t xml:space="preserve">C1</t>
  </si>
  <si>
    <t xml:space="preserve">C2</t>
  </si>
  <si>
    <t xml:space="preserve">C3</t>
  </si>
  <si>
    <t xml:space="preserve">R0</t>
  </si>
  <si>
    <t xml:space="preserve">R1</t>
  </si>
  <si>
    <t xml:space="preserve">R2</t>
  </si>
  <si>
    <t xml:space="preserve">R3</t>
  </si>
  <si>
    <t xml:space="preserve">GND-CL</t>
  </si>
  <si>
    <t xml:space="preserve">GNDlt</t>
  </si>
  <si>
    <t xml:space="preserve">GNDrt</t>
  </si>
  <si>
    <t xml:space="preserve">rt edge</t>
  </si>
  <si>
    <t xml:space="preserve">lt edge</t>
  </si>
  <si>
    <t xml:space="preserve">Dreg = N*Fgen/Fsamp</t>
  </si>
  <si>
    <t xml:space="preserve">Fgen = Dreg*Fsamp/N</t>
  </si>
  <si>
    <t xml:space="preserve">Dreg =&gt; fractional reg.  Mult by 256 to get 16 bit register value.</t>
  </si>
  <si>
    <t xml:space="preserve">Fsamp =</t>
  </si>
  <si>
    <t xml:space="preserve">N = </t>
  </si>
  <si>
    <t xml:space="preserve">row/col</t>
  </si>
  <si>
    <t xml:space="preserve">Fgen</t>
  </si>
  <si>
    <t xml:space="preserve">Dreg</t>
  </si>
  <si>
    <t xml:space="preserve">test</t>
  </si>
  <si>
    <t xml:space="preserve">min step</t>
  </si>
  <si>
    <t xml:space="preserve">stdev</t>
  </si>
  <si>
    <t xml:space="preserve">median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</si>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</sst>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16" activeCellId="0" sqref="H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5.19"/>
    <col collapsed="false" customWidth="true" hidden="false" outlineLevel="0" max="7" min="7" style="0" width="4.41"/>
  </cols>
  <sheetData>
    <row r="1" customFormat="false" ht="12.8" hidden="false" customHeight="false" outlineLevel="0" collapsed="false">
      <c r="B1" s="0" t="s">
        <v>0</v>
      </c>
      <c r="C1" s="0" t="s">
        <v>1</v>
      </c>
      <c r="E1" s="0" t="s">
        <v>2</v>
      </c>
      <c r="F1" s="0" t="s">
        <v>3</v>
      </c>
      <c r="H1" s="0" t="s">
        <v>4</v>
      </c>
      <c r="I1" s="0" t="s">
        <v>5</v>
      </c>
    </row>
    <row r="2" customFormat="false" ht="12.8" hidden="false" customHeight="false" outlineLevel="0" collapsed="false">
      <c r="A2" s="0" t="s">
        <v>6</v>
      </c>
      <c r="B2" s="0" t="n">
        <v>921</v>
      </c>
      <c r="C2" s="0" t="n">
        <v>538</v>
      </c>
      <c r="E2" s="0" t="n">
        <v>0</v>
      </c>
      <c r="F2" s="0" t="n">
        <v>0</v>
      </c>
      <c r="H2" s="0" t="n">
        <f aca="false">2000+E2</f>
        <v>2000</v>
      </c>
      <c r="I2" s="0" t="n">
        <f aca="false">2000+F2</f>
        <v>2000</v>
      </c>
    </row>
    <row r="3" customFormat="false" ht="12.8" hidden="false" customHeight="false" outlineLevel="0" collapsed="false">
      <c r="A3" s="0" t="s">
        <v>7</v>
      </c>
      <c r="B3" s="0" t="n">
        <v>570</v>
      </c>
      <c r="C3" s="0" t="n">
        <f aca="false">C4+440+(49/2)</f>
        <v>865</v>
      </c>
      <c r="E3" s="0" t="n">
        <f aca="false">$C$2-C3</f>
        <v>-327</v>
      </c>
      <c r="F3" s="0" t="n">
        <f aca="false">B3-$B$2</f>
        <v>-351</v>
      </c>
      <c r="H3" s="0" t="n">
        <f aca="false">2000+E3</f>
        <v>1673</v>
      </c>
      <c r="I3" s="0" t="n">
        <f aca="false">2000+F3</f>
        <v>1649</v>
      </c>
    </row>
    <row r="4" customFormat="false" ht="12.8" hidden="false" customHeight="false" outlineLevel="0" collapsed="false">
      <c r="A4" s="0" t="s">
        <v>8</v>
      </c>
      <c r="B4" s="0" t="n">
        <v>595</v>
      </c>
      <c r="C4" s="0" t="n">
        <f aca="false">376+(49/2)</f>
        <v>400.5</v>
      </c>
      <c r="E4" s="0" t="n">
        <f aca="false">$C$2-C4</f>
        <v>137.5</v>
      </c>
      <c r="F4" s="0" t="n">
        <f aca="false">B4-$B$2</f>
        <v>-326</v>
      </c>
      <c r="H4" s="0" t="n">
        <f aca="false">2000+E4</f>
        <v>2137.5</v>
      </c>
      <c r="I4" s="0" t="n">
        <f aca="false">2000+F4</f>
        <v>1674</v>
      </c>
    </row>
    <row r="5" customFormat="false" ht="12.8" hidden="false" customHeight="false" outlineLevel="0" collapsed="false">
      <c r="A5" s="0" t="s">
        <v>9</v>
      </c>
      <c r="B5" s="0" t="n">
        <v>1172</v>
      </c>
      <c r="C5" s="0" t="n">
        <v>676</v>
      </c>
      <c r="E5" s="0" t="n">
        <f aca="false">$C$2-C5</f>
        <v>-138</v>
      </c>
      <c r="F5" s="0" t="n">
        <f aca="false">B5-$B$2</f>
        <v>251</v>
      </c>
      <c r="H5" s="0" t="n">
        <f aca="false">2000+E5</f>
        <v>1862</v>
      </c>
      <c r="I5" s="0" t="n">
        <f aca="false">2000+F5</f>
        <v>2251</v>
      </c>
    </row>
    <row r="6" customFormat="false" ht="12.8" hidden="false" customHeight="false" outlineLevel="0" collapsed="false">
      <c r="A6" s="0" t="s">
        <v>10</v>
      </c>
      <c r="B6" s="0" t="n">
        <v>1274</v>
      </c>
      <c r="C6" s="0" t="n">
        <v>1143</v>
      </c>
      <c r="E6" s="0" t="n">
        <f aca="false">$C$2-C6</f>
        <v>-605</v>
      </c>
      <c r="F6" s="0" t="n">
        <f aca="false">B6-$B$2</f>
        <v>353</v>
      </c>
      <c r="H6" s="0" t="n">
        <f aca="false">2000+E6</f>
        <v>1395</v>
      </c>
      <c r="I6" s="0" t="n">
        <f aca="false">2000+F6</f>
        <v>2353</v>
      </c>
    </row>
    <row r="8" customFormat="false" ht="12.8" hidden="false" customHeight="false" outlineLevel="0" collapsed="false">
      <c r="A8" s="0" t="s">
        <v>11</v>
      </c>
      <c r="B8" s="0" t="n">
        <v>1700</v>
      </c>
      <c r="C8" s="0" t="n">
        <f aca="false">429-83</f>
        <v>346</v>
      </c>
      <c r="E8" s="0" t="n">
        <f aca="false">$C$2-C8</f>
        <v>192</v>
      </c>
      <c r="F8" s="0" t="n">
        <f aca="false">B8-$B$2</f>
        <v>779</v>
      </c>
      <c r="H8" s="0" t="n">
        <f aca="false">2000+E8</f>
        <v>2192</v>
      </c>
      <c r="I8" s="0" t="n">
        <f aca="false">2000+F8</f>
        <v>2779</v>
      </c>
    </row>
    <row r="9" customFormat="false" ht="12.8" hidden="false" customHeight="false" outlineLevel="0" collapsed="false">
      <c r="A9" s="0" t="s">
        <v>12</v>
      </c>
      <c r="B9" s="0" t="n">
        <v>1421</v>
      </c>
      <c r="C9" s="0" t="n">
        <v>429</v>
      </c>
      <c r="E9" s="0" t="n">
        <f aca="false">$C$2-C9</f>
        <v>109</v>
      </c>
      <c r="F9" s="0" t="n">
        <f aca="false">B9-$B$2</f>
        <v>500</v>
      </c>
      <c r="H9" s="0" t="n">
        <f aca="false">2000+E9</f>
        <v>2109</v>
      </c>
      <c r="I9" s="0" t="n">
        <f aca="false">2000+F9</f>
        <v>2500</v>
      </c>
    </row>
    <row r="10" customFormat="false" ht="12.8" hidden="false" customHeight="false" outlineLevel="0" collapsed="false">
      <c r="A10" s="0" t="s">
        <v>13</v>
      </c>
      <c r="B10" s="0" t="n">
        <v>1493</v>
      </c>
      <c r="C10" s="0" t="n">
        <v>1092</v>
      </c>
      <c r="E10" s="0" t="n">
        <f aca="false">$C$2-C10</f>
        <v>-554</v>
      </c>
      <c r="F10" s="0" t="n">
        <f aca="false">B10-$B$2</f>
        <v>572</v>
      </c>
      <c r="H10" s="0" t="n">
        <f aca="false">2000+E10</f>
        <v>1446</v>
      </c>
      <c r="I10" s="0" t="n">
        <f aca="false">2000+F10</f>
        <v>2572</v>
      </c>
    </row>
    <row r="11" customFormat="false" ht="12.8" hidden="false" customHeight="false" outlineLevel="0" collapsed="false">
      <c r="A11" s="0" t="s">
        <v>14</v>
      </c>
      <c r="B11" s="0" t="n">
        <v>1700</v>
      </c>
      <c r="C11" s="0" t="n">
        <v>910</v>
      </c>
      <c r="E11" s="0" t="n">
        <f aca="false">$C$2-C11</f>
        <v>-372</v>
      </c>
      <c r="F11" s="0" t="n">
        <f aca="false">B11-$B$2</f>
        <v>779</v>
      </c>
      <c r="H11" s="0" t="n">
        <f aca="false">2000+E11</f>
        <v>1628</v>
      </c>
      <c r="I11" s="0" t="n">
        <f aca="false">2000+F11</f>
        <v>2779</v>
      </c>
    </row>
    <row r="13" customFormat="false" ht="12.8" hidden="false" customHeight="false" outlineLevel="0" collapsed="false">
      <c r="A13" s="0" t="s">
        <v>15</v>
      </c>
      <c r="B13" s="0" t="n">
        <v>1126</v>
      </c>
      <c r="C13" s="0" t="n">
        <v>870</v>
      </c>
      <c r="E13" s="0" t="n">
        <f aca="false">$C$2-C13</f>
        <v>-332</v>
      </c>
      <c r="F13" s="0" t="n">
        <f aca="false">B13-$B$2</f>
        <v>205</v>
      </c>
      <c r="H13" s="0" t="n">
        <f aca="false">2000+E13</f>
        <v>1668</v>
      </c>
      <c r="I13" s="0" t="n">
        <f aca="false">2000+F13</f>
        <v>2205</v>
      </c>
    </row>
    <row r="14" customFormat="false" ht="12.8" hidden="false" customHeight="false" outlineLevel="0" collapsed="false">
      <c r="A14" s="0" t="s">
        <v>16</v>
      </c>
      <c r="H14" s="0" t="n">
        <f aca="false">H13+45</f>
        <v>1713</v>
      </c>
    </row>
    <row r="15" customFormat="false" ht="12.8" hidden="false" customHeight="false" outlineLevel="0" collapsed="false">
      <c r="A15" s="0" t="s">
        <v>17</v>
      </c>
      <c r="H15" s="0" t="n">
        <f aca="false">H13-45</f>
        <v>1623</v>
      </c>
    </row>
    <row r="17" customFormat="false" ht="12.8" hidden="false" customHeight="false" outlineLevel="0" collapsed="false">
      <c r="A17" s="0" t="s">
        <v>18</v>
      </c>
      <c r="C17" s="0" t="n">
        <v>183</v>
      </c>
      <c r="E17" s="0" t="n">
        <f aca="false">$C$2-C17</f>
        <v>355</v>
      </c>
      <c r="H17" s="0" t="n">
        <f aca="false">2000+E17</f>
        <v>2355</v>
      </c>
    </row>
    <row r="18" customFormat="false" ht="12.8" hidden="false" customHeight="false" outlineLevel="0" collapsed="false">
      <c r="A18" s="0" t="s">
        <v>19</v>
      </c>
      <c r="C18" s="0" t="n">
        <v>1267</v>
      </c>
      <c r="E18" s="0" t="n">
        <f aca="false">$C$2-C18</f>
        <v>-729</v>
      </c>
      <c r="H18" s="0" t="n">
        <f aca="false">2000+E18</f>
        <v>1271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61.796</v>
      </c>
      <c r="B1" s="2" t="n">
        <f aca="false">(62.5-A1)/62.5</f>
        <v>0.011264</v>
      </c>
      <c r="C1" s="1" t="s">
        <v>20</v>
      </c>
    </row>
    <row r="2" customFormat="false" ht="12.8" hidden="false" customHeight="false" outlineLevel="0" collapsed="false">
      <c r="A2" s="1" t="n">
        <v>61.532</v>
      </c>
      <c r="B2" s="2" t="n">
        <f aca="false">(62.5-A2)/62.5</f>
        <v>0.0154880000000001</v>
      </c>
      <c r="C2" s="1" t="s">
        <v>21</v>
      </c>
    </row>
    <row r="3" customFormat="false" ht="12.8" hidden="false" customHeight="false" outlineLevel="0" collapsed="false">
      <c r="A3" s="1" t="n">
        <v>61.576</v>
      </c>
      <c r="B3" s="2" t="n">
        <f aca="false">(62.5-A3)/62.5</f>
        <v>0.014784</v>
      </c>
      <c r="C3" s="1" t="s">
        <v>22</v>
      </c>
    </row>
    <row r="4" customFormat="false" ht="12.8" hidden="false" customHeight="false" outlineLevel="0" collapsed="false">
      <c r="A4" s="1" t="n">
        <v>61.82</v>
      </c>
      <c r="B4" s="2" t="n">
        <f aca="false">(62.5-A4)/62.5</f>
        <v>0.01088</v>
      </c>
      <c r="D4" s="1" t="s">
        <v>23</v>
      </c>
      <c r="E4" s="1" t="n">
        <v>16000</v>
      </c>
    </row>
    <row r="5" customFormat="false" ht="12.8" hidden="false" customHeight="false" outlineLevel="0" collapsed="false">
      <c r="A5" s="1" t="n">
        <v>60.98</v>
      </c>
      <c r="B5" s="2" t="n">
        <f aca="false">(62.5-A5)/62.5</f>
        <v>0.0243200000000001</v>
      </c>
      <c r="D5" s="1" t="s">
        <v>24</v>
      </c>
      <c r="E5" s="1" t="n">
        <v>256</v>
      </c>
    </row>
    <row r="6" customFormat="false" ht="12.8" hidden="false" customHeight="false" outlineLevel="0" collapsed="false">
      <c r="A6" s="1" t="n">
        <v>62.136</v>
      </c>
      <c r="B6" s="2" t="n">
        <f aca="false">(62.5-A6)/62.5</f>
        <v>0.00582399999999996</v>
      </c>
    </row>
    <row r="7" customFormat="false" ht="12.8" hidden="false" customHeight="false" outlineLevel="0" collapsed="false">
      <c r="A7" s="1" t="n">
        <v>61.168</v>
      </c>
      <c r="B7" s="2" t="n">
        <f aca="false">(62.5-A7)/62.5</f>
        <v>0.021312</v>
      </c>
      <c r="C7" s="3" t="s">
        <v>25</v>
      </c>
      <c r="D7" s="4" t="s">
        <v>26</v>
      </c>
      <c r="E7" s="4" t="s">
        <v>27</v>
      </c>
    </row>
    <row r="8" customFormat="false" ht="12.8" hidden="false" customHeight="false" outlineLevel="0" collapsed="false">
      <c r="A8" s="1" t="n">
        <v>61.836</v>
      </c>
      <c r="B8" s="2" t="n">
        <f aca="false">(62.5-A8)/62.5</f>
        <v>0.010624</v>
      </c>
      <c r="C8" s="1" t="s">
        <v>28</v>
      </c>
      <c r="D8" s="1" t="n">
        <v>1000</v>
      </c>
      <c r="E8" s="5" t="n">
        <f aca="false">($E$5*D8/$E$4)*256</f>
        <v>4096</v>
      </c>
    </row>
    <row r="9" customFormat="false" ht="12.8" hidden="false" customHeight="false" outlineLevel="0" collapsed="false">
      <c r="A9" s="1" t="n">
        <v>60.64</v>
      </c>
      <c r="B9" s="2" t="n">
        <f aca="false">(62.5-A9)/62.5</f>
        <v>0.02976</v>
      </c>
      <c r="C9" s="1" t="s">
        <v>29</v>
      </c>
      <c r="D9" s="1" t="n">
        <f aca="false">(E9/256)*E4/E5</f>
        <v>0.244140625</v>
      </c>
      <c r="E9" s="5" t="n">
        <v>1</v>
      </c>
      <c r="F9" s="1" t="n">
        <f aca="false">D9/1633</f>
        <v>0.000149504363135334</v>
      </c>
      <c r="G9" s="1" t="n">
        <f aca="false">D9/697</f>
        <v>0.000350273493543759</v>
      </c>
    </row>
    <row r="10" customFormat="false" ht="12.8" hidden="false" customHeight="false" outlineLevel="0" collapsed="false">
      <c r="A10" s="1" t="n">
        <v>62.432</v>
      </c>
      <c r="B10" s="2" t="n">
        <f aca="false">(62.5-A10)/62.5</f>
        <v>0.00108799999999997</v>
      </c>
      <c r="C10" s="1" t="s">
        <v>11</v>
      </c>
      <c r="D10" s="1" t="n">
        <v>697</v>
      </c>
      <c r="E10" s="5" t="n">
        <f aca="false">($E$5*D10/$E$4)*256</f>
        <v>2854.912</v>
      </c>
    </row>
    <row r="11" customFormat="false" ht="12.8" hidden="false" customHeight="false" outlineLevel="0" collapsed="false">
      <c r="A11" s="1" t="n">
        <f aca="false">STDEV(A1:A10 )</f>
        <v>0.539459647342702</v>
      </c>
      <c r="B11" s="1" t="s">
        <v>30</v>
      </c>
      <c r="C11" s="1" t="s">
        <v>12</v>
      </c>
      <c r="D11" s="1" t="n">
        <v>770</v>
      </c>
      <c r="E11" s="5" t="n">
        <f aca="false">($E$5*D11/$E$4)*256</f>
        <v>3153.92</v>
      </c>
    </row>
    <row r="12" customFormat="false" ht="12.8" hidden="false" customHeight="false" outlineLevel="0" collapsed="false">
      <c r="A12" s="1" t="n">
        <f aca="false">MEDIAN(A1:A10)</f>
        <v>61.686</v>
      </c>
      <c r="B12" s="1" t="s">
        <v>31</v>
      </c>
      <c r="C12" s="1" t="s">
        <v>13</v>
      </c>
      <c r="D12" s="1" t="n">
        <v>852</v>
      </c>
      <c r="E12" s="5" t="n">
        <f aca="false">($E$5*D12/$E$4)*256</f>
        <v>3489.792</v>
      </c>
    </row>
    <row r="13" customFormat="false" ht="12.8" hidden="false" customHeight="false" outlineLevel="0" collapsed="false">
      <c r="A13" s="1" t="n">
        <f aca="false">MIN(A1:A10)</f>
        <v>60.64</v>
      </c>
      <c r="B13" s="1" t="s">
        <v>32</v>
      </c>
      <c r="C13" s="1" t="s">
        <v>14</v>
      </c>
      <c r="D13" s="1" t="n">
        <v>941</v>
      </c>
      <c r="E13" s="5" t="n">
        <f aca="false">($E$5*D13/$E$4)*256</f>
        <v>3854.336</v>
      </c>
    </row>
    <row r="14" customFormat="false" ht="12.8" hidden="false" customHeight="false" outlineLevel="0" collapsed="false">
      <c r="A14" s="1" t="n">
        <f aca="false">MAX(A2:A10)</f>
        <v>62.432</v>
      </c>
      <c r="B14" s="1" t="s">
        <v>33</v>
      </c>
      <c r="C14" s="1" t="s">
        <v>7</v>
      </c>
      <c r="D14" s="1" t="n">
        <v>1209</v>
      </c>
      <c r="E14" s="5" t="n">
        <f aca="false">($E$5*D14/$E$4)*256</f>
        <v>4952.064</v>
      </c>
    </row>
    <row r="15" customFormat="false" ht="12.8" hidden="false" customHeight="false" outlineLevel="0" collapsed="false">
      <c r="A15" s="1" t="n">
        <f aca="false">(A12-A13)/A12</f>
        <v>0.0169568459618066</v>
      </c>
      <c r="C15" s="1" t="s">
        <v>8</v>
      </c>
      <c r="D15" s="1" t="n">
        <v>1336</v>
      </c>
      <c r="E15" s="5" t="n">
        <f aca="false">($E$5*D15/$E$4)*256</f>
        <v>5472.256</v>
      </c>
    </row>
    <row r="16" customFormat="false" ht="12.8" hidden="false" customHeight="false" outlineLevel="0" collapsed="false">
      <c r="C16" s="1" t="s">
        <v>9</v>
      </c>
      <c r="D16" s="1" t="n">
        <v>1477</v>
      </c>
      <c r="E16" s="5" t="n">
        <f aca="false">($E$5*D16/$E$4)*256</f>
        <v>6049.792</v>
      </c>
    </row>
    <row r="17" customFormat="false" ht="12.8" hidden="false" customHeight="true" outlineLevel="0" collapsed="false">
      <c r="C17" s="1" t="s">
        <v>10</v>
      </c>
      <c r="D17" s="1" t="n">
        <v>1633</v>
      </c>
      <c r="E17" s="5" t="n">
        <f aca="false">($E$5*D17/$E$4)*256</f>
        <v>6688.768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4197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2025-09-28T21:46:53Z</dcterms:created>
  <dc:creator/>
  <dc:description/>
  <dc:language>en-US</dc:language>
  <cp:lastModifiedBy/>
  <dcterms:modified xsi:type="dcterms:W3CDTF">2025-10-10T18:41:11Z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